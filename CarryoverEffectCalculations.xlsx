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kt\Research\CybersicknessGuideline\CybersicknessGuideline_GitHubRepo\"/>
    </mc:Choice>
  </mc:AlternateContent>
  <xr:revisionPtr revIDLastSave="0" documentId="13_ncr:1_{246E7355-6919-49C6-A674-3EFBD905B8F8}" xr6:coauthVersionLast="47" xr6:coauthVersionMax="47" xr10:uidLastSave="{00000000-0000-0000-0000-000000000000}"/>
  <bookViews>
    <workbookView xWindow="2304" yWindow="2304" windowWidth="19404" windowHeight="14964" xr2:uid="{00000000-000D-0000-FFFF-FFFF00000000}"/>
  </bookViews>
  <sheets>
    <sheet name="New Analysi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L15" i="2"/>
  <c r="C16" i="2" s="1"/>
  <c r="L14" i="2"/>
  <c r="C15" i="2" s="1"/>
  <c r="D14" i="2"/>
  <c r="C14" i="2"/>
  <c r="D9" i="2"/>
  <c r="B6" i="2"/>
  <c r="B4" i="2"/>
  <c r="L3" i="2"/>
  <c r="C4" i="2" s="1"/>
  <c r="C3" i="2"/>
  <c r="D3" i="2" s="1"/>
  <c r="B3" i="2"/>
  <c r="B5" i="2" s="1"/>
  <c r="L2" i="2"/>
  <c r="C2" i="2"/>
  <c r="D2" i="2" s="1"/>
  <c r="B18" i="1"/>
  <c r="B17" i="1"/>
  <c r="L15" i="1"/>
  <c r="C16" i="1" s="1"/>
  <c r="L14" i="1"/>
  <c r="C15" i="1" s="1"/>
  <c r="C14" i="1"/>
  <c r="D14" i="1" s="1"/>
  <c r="D9" i="1"/>
  <c r="B6" i="1"/>
  <c r="B5" i="1"/>
  <c r="L3" i="1"/>
  <c r="C4" i="1" s="1"/>
  <c r="L2" i="1"/>
  <c r="C3" i="1" s="1"/>
  <c r="D2" i="1"/>
  <c r="C2" i="1"/>
  <c r="D4" i="2" l="1"/>
  <c r="C6" i="2"/>
  <c r="D4" i="1"/>
  <c r="C6" i="1"/>
  <c r="C17" i="2"/>
  <c r="D15" i="2"/>
  <c r="C18" i="2"/>
  <c r="D16" i="2"/>
  <c r="I2" i="2"/>
  <c r="F9" i="2"/>
  <c r="F8" i="2"/>
  <c r="F7" i="2"/>
  <c r="J2" i="2"/>
  <c r="D15" i="1"/>
  <c r="C17" i="1"/>
  <c r="C5" i="1"/>
  <c r="D3" i="1"/>
  <c r="C18" i="1"/>
  <c r="D16" i="1"/>
  <c r="C5" i="2"/>
  <c r="H2" i="2" l="1"/>
  <c r="G2" i="2"/>
  <c r="G11" i="2"/>
  <c r="G10" i="2"/>
  <c r="G12" i="2"/>
  <c r="G9" i="1"/>
  <c r="H3" i="1"/>
  <c r="G3" i="1"/>
  <c r="G7" i="1"/>
  <c r="G8" i="1"/>
  <c r="F12" i="1"/>
  <c r="F11" i="1"/>
  <c r="F10" i="1"/>
  <c r="F12" i="2"/>
  <c r="F11" i="2"/>
  <c r="F10" i="2"/>
  <c r="G12" i="1"/>
  <c r="G11" i="1"/>
  <c r="G10" i="1"/>
  <c r="G2" i="1"/>
  <c r="H2" i="1"/>
  <c r="F9" i="1"/>
  <c r="F8" i="1"/>
  <c r="F7" i="1"/>
  <c r="J3" i="2"/>
  <c r="G9" i="2"/>
  <c r="I3" i="2"/>
  <c r="G8" i="2"/>
  <c r="G7" i="2"/>
  <c r="H3" i="2" l="1"/>
  <c r="G3" i="2"/>
  <c r="H15" i="1"/>
  <c r="G15" i="1"/>
  <c r="H16" i="2"/>
  <c r="G16" i="2"/>
  <c r="G16" i="1"/>
  <c r="H16" i="1"/>
  <c r="H15" i="2"/>
  <c r="G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tc={be44351b-cdf5-4f43-9ec9-db4cfe43841f}</author>
  </authors>
  <commentList>
    <comment ref="K4" authorId="0" shapeId="0" xr:uid="{BE44351B-CDF5-4F43-9EC9-DB4CFE43841F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method based on number of experiments instead of number of conditions</t>
      </text>
    </comment>
  </commentList>
</comments>
</file>

<file path=xl/sharedStrings.xml><?xml version="1.0" encoding="utf-8"?>
<sst xmlns="http://schemas.openxmlformats.org/spreadsheetml/2006/main" count="98" uniqueCount="34">
  <si>
    <t>Delta Only</t>
  </si>
  <si>
    <t>Effect Size Estimation Result</t>
  </si>
  <si>
    <t>Effect Size</t>
  </si>
  <si>
    <t>c</t>
  </si>
  <si>
    <t>k=Me/M</t>
  </si>
  <si>
    <t>Verification</t>
  </si>
  <si>
    <t>Hyper-param</t>
  </si>
  <si>
    <t>Between</t>
  </si>
  <si>
    <t>c2</t>
  </si>
  <si>
    <t>long</t>
  </si>
  <si>
    <t>Effect Size Change Ratio (Long)</t>
  </si>
  <si>
    <t>Within(Long)</t>
  </si>
  <si>
    <t>c1_long</t>
  </si>
  <si>
    <t>short</t>
  </si>
  <si>
    <t>Effect Size Change Ratio (Short)</t>
  </si>
  <si>
    <t>Within(Short)</t>
  </si>
  <si>
    <t>c1_short</t>
  </si>
  <si>
    <t>a</t>
  </si>
  <si>
    <t>Three conditions</t>
  </si>
  <si>
    <t>rho</t>
  </si>
  <si>
    <t>b</t>
  </si>
  <si>
    <t>Four conditions</t>
  </si>
  <si>
    <t>sqrt(n/n-1)</t>
  </si>
  <si>
    <t>4c</t>
  </si>
  <si>
    <t>Five conditions</t>
  </si>
  <si>
    <t>Six conditions</t>
  </si>
  <si>
    <t>Seven conditions</t>
  </si>
  <si>
    <t>Full</t>
  </si>
  <si>
    <t xml:space="preserve"> </t>
  </si>
  <si>
    <t>ICC</t>
  </si>
  <si>
    <t>Wu_VRST2022</t>
  </si>
  <si>
    <t>TC</t>
  </si>
  <si>
    <t>Doty_TVCG2024</t>
  </si>
  <si>
    <t>Wu_SUI2021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</si>
</sst>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theme="1"/>
      <name val="Aptos Narrow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1" fillId="3" borderId="0" xfId="0" applyFont="1" applyFill="1"/>
    <xf numFmtId="0" fontId="1" fillId="4" borderId="0" xfId="0" applyFont="1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3" fillId="4" borderId="0" xfId="0" applyFont="1" applyFill="1"/>
    <xf numFmtId="0" fontId="1" fillId="0" borderId="0" xfId="0" applyFont="1" applyAlignment="1">
      <alignment horizontal="right"/>
    </xf>
    <xf numFmtId="0" fontId="2" fillId="5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right"/>
    </xf>
    <xf numFmtId="0" fontId="3" fillId="5" borderId="0" xfId="0" applyFont="1" applyFill="1"/>
    <xf numFmtId="0" fontId="2" fillId="5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ngyu Nie" id="{F776862A-19E8-4475-AB29-C981E7519E1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6-04-03T17:32:23.00" personId="{F776862A-19E8-4475-AB29-C981E7519E13}" id="{BE44351B-CDF5-4F43-9EC9-DB4CFE43841F}" done="1">
    <text>Old method based on number of experiments instead of number of conditions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tabSelected="1" workbookViewId="0">
      <selection activeCell="J4" sqref="J4"/>
    </sheetView>
  </sheetViews>
  <sheetFormatPr defaultColWidth="12.6640625" defaultRowHeight="15.75" customHeight="1" x14ac:dyDescent="0.25"/>
  <cols>
    <col min="11" max="11" width="15.109375" customWidth="1"/>
  </cols>
  <sheetData>
    <row r="1" spans="1:1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1" t="s">
        <v>4</v>
      </c>
      <c r="H1" s="2"/>
      <c r="I1" s="1"/>
      <c r="J1" s="4"/>
      <c r="K1" s="5" t="s">
        <v>6</v>
      </c>
      <c r="L1" s="4"/>
    </row>
    <row r="2" spans="1:12" ht="15.75" customHeight="1" x14ac:dyDescent="0.3">
      <c r="A2" s="1" t="s">
        <v>7</v>
      </c>
      <c r="B2" s="6">
        <v>1.2796000000000001</v>
      </c>
      <c r="C2" s="7">
        <f>B2</f>
        <v>1.2796000000000001</v>
      </c>
      <c r="D2" s="7">
        <f t="shared" ref="D2:D4" si="0">1/C2^2</f>
        <v>0.61073321111503176</v>
      </c>
      <c r="E2" s="1" t="s">
        <v>8</v>
      </c>
      <c r="F2" s="1" t="s">
        <v>9</v>
      </c>
      <c r="G2" s="8">
        <f>(D3-D8*D2+SQRT((D8*D8-2)*D2*D2+(3-2*D8)*D3*D2+D3-D2))/(0.5*(1-D3+2*D2))</f>
        <v>0.63884907885555609</v>
      </c>
      <c r="H2" s="8">
        <f>(D3-D8*D2-SQRT((D8*D8-2)*D2*D2+(3-2*D8)*D3*D2+D3-D2))/(0.5*(1-D3+2*D2))</f>
        <v>-0.38981568656808729</v>
      </c>
      <c r="I2" s="2"/>
      <c r="J2" s="9"/>
      <c r="K2" s="5" t="s">
        <v>10</v>
      </c>
      <c r="L2" s="10">
        <f>4/(1+2*L7+1*L9)</f>
        <v>0.33333333333333331</v>
      </c>
    </row>
    <row r="3" spans="1:12" ht="15.75" customHeight="1" x14ac:dyDescent="0.3">
      <c r="A3" s="1" t="s">
        <v>11</v>
      </c>
      <c r="B3" s="6">
        <v>-0.26619999999999999</v>
      </c>
      <c r="C3" s="7">
        <f>B2+B3*L2</f>
        <v>1.1908666666666667</v>
      </c>
      <c r="D3" s="7">
        <f t="shared" si="0"/>
        <v>0.70513735403425637</v>
      </c>
      <c r="E3" s="1" t="s">
        <v>12</v>
      </c>
      <c r="F3" s="1" t="s">
        <v>13</v>
      </c>
      <c r="G3" s="11">
        <f>(D4-D8*D2+SQRT((D8*D8-2)*D2*D2+(3-2*D8)*D4*D2+D4-D2))/(0.5*(1-D4+2*D2))</f>
        <v>0.84756738684641819</v>
      </c>
      <c r="H3" s="11">
        <f>(D4-D8*D2-SQRT((D8*D8-2)*D2*D2+(3-2*D8)*D4*D2+D4-D2))/(0.5*(1-D4+2*D2))</f>
        <v>-0.45874775279137009</v>
      </c>
      <c r="I3" s="7"/>
      <c r="J3" s="12"/>
      <c r="K3" s="5" t="s">
        <v>14</v>
      </c>
      <c r="L3" s="10">
        <f>7/(2+2*L7+2*L8+1*L9)</f>
        <v>0.33333333333333331</v>
      </c>
    </row>
    <row r="4" spans="1:12" ht="15.75" customHeight="1" x14ac:dyDescent="0.3">
      <c r="A4" s="1" t="s">
        <v>15</v>
      </c>
      <c r="B4" s="6">
        <v>-0.3826</v>
      </c>
      <c r="C4" s="7">
        <f>B2+B4*L3</f>
        <v>1.1520666666666668</v>
      </c>
      <c r="D4" s="7">
        <f t="shared" si="0"/>
        <v>0.75343324208609352</v>
      </c>
      <c r="E4" s="1" t="s">
        <v>16</v>
      </c>
      <c r="F4" s="1"/>
      <c r="G4" s="7"/>
      <c r="H4" s="7"/>
      <c r="I4" s="3"/>
      <c r="J4" s="13"/>
      <c r="K4" s="9"/>
      <c r="L4" s="12"/>
    </row>
    <row r="5" spans="1:12" ht="15.75" customHeight="1" x14ac:dyDescent="0.3">
      <c r="A5" s="2"/>
      <c r="B5" s="7">
        <f>B2+B3</f>
        <v>1.0134000000000001</v>
      </c>
      <c r="C5" s="7">
        <f>B2-C3</f>
        <v>8.8733333333333331E-2</v>
      </c>
      <c r="D5" s="2"/>
      <c r="E5" s="2"/>
      <c r="F5" s="2"/>
      <c r="G5" s="2"/>
      <c r="H5" s="2"/>
      <c r="I5" s="3"/>
      <c r="J5" s="13"/>
      <c r="K5" s="9"/>
      <c r="L5" s="12"/>
    </row>
    <row r="6" spans="1:12" ht="15.75" customHeight="1" x14ac:dyDescent="0.3">
      <c r="A6" s="2"/>
      <c r="B6" s="7">
        <f>B2+B4</f>
        <v>0.89700000000000002</v>
      </c>
      <c r="C6" s="7">
        <f>B2-C4</f>
        <v>0.12753333333333328</v>
      </c>
      <c r="D6" s="2"/>
      <c r="E6" s="3"/>
      <c r="F6" s="1" t="s">
        <v>9</v>
      </c>
      <c r="G6" s="1" t="s">
        <v>13</v>
      </c>
      <c r="H6" s="2"/>
      <c r="I6" s="2"/>
      <c r="J6" s="4"/>
      <c r="K6" s="4"/>
      <c r="L6" s="4"/>
    </row>
    <row r="7" spans="1:12" ht="15.75" customHeight="1" x14ac:dyDescent="0.3">
      <c r="A7" s="2"/>
      <c r="B7" s="2"/>
      <c r="C7" s="2"/>
      <c r="D7" s="2"/>
      <c r="E7" s="1" t="s">
        <v>17</v>
      </c>
      <c r="F7" s="1">
        <f>D3-D2</f>
        <v>9.440414291922461E-2</v>
      </c>
      <c r="G7" s="2">
        <f>D4-D2</f>
        <v>0.14270003097106176</v>
      </c>
      <c r="H7" s="2"/>
      <c r="I7" s="2"/>
      <c r="J7" s="14"/>
      <c r="K7" s="5" t="s">
        <v>18</v>
      </c>
      <c r="L7" s="14">
        <v>3</v>
      </c>
    </row>
    <row r="8" spans="1:12" ht="15.75" customHeight="1" x14ac:dyDescent="0.3">
      <c r="A8" s="2"/>
      <c r="B8" s="2"/>
      <c r="C8" s="1" t="s">
        <v>19</v>
      </c>
      <c r="D8" s="1">
        <v>1</v>
      </c>
      <c r="E8" s="1" t="s">
        <v>20</v>
      </c>
      <c r="F8" s="1">
        <f>(D3-D8*D2)</f>
        <v>9.440414291922461E-2</v>
      </c>
      <c r="G8" s="7">
        <f>D4-D8*D2</f>
        <v>0.14270003097106176</v>
      </c>
      <c r="H8" s="2"/>
      <c r="I8" s="3"/>
      <c r="J8" s="14"/>
      <c r="K8" s="5" t="s">
        <v>21</v>
      </c>
      <c r="L8" s="14">
        <v>4</v>
      </c>
    </row>
    <row r="9" spans="1:12" ht="15.75" customHeight="1" x14ac:dyDescent="0.3">
      <c r="A9" s="2"/>
      <c r="B9" s="2"/>
      <c r="C9" s="1" t="s">
        <v>22</v>
      </c>
      <c r="D9" s="2">
        <f>SQRT(D10/(D10-1))</f>
        <v>1.0190493307301363</v>
      </c>
      <c r="E9" s="1" t="s">
        <v>23</v>
      </c>
      <c r="F9" s="2">
        <f>D3-2*D2-1</f>
        <v>-1.516329068195807</v>
      </c>
      <c r="G9" s="2">
        <f>D4-2*D2-1</f>
        <v>-1.4680331801439701</v>
      </c>
      <c r="H9" s="1"/>
      <c r="I9" s="1"/>
      <c r="J9" s="14"/>
      <c r="K9" s="5" t="s">
        <v>24</v>
      </c>
      <c r="L9" s="14">
        <v>5</v>
      </c>
    </row>
    <row r="10" spans="1:12" ht="15.75" customHeight="1" x14ac:dyDescent="0.3">
      <c r="A10" s="15"/>
      <c r="B10" s="15"/>
      <c r="C10" s="15"/>
      <c r="D10" s="16">
        <v>27</v>
      </c>
      <c r="E10" s="16" t="s">
        <v>17</v>
      </c>
      <c r="F10" s="16">
        <f>D15-D14</f>
        <v>7.2415355262947623E-2</v>
      </c>
      <c r="G10" s="17">
        <f>D16-D14</f>
        <v>0.11958005748698952</v>
      </c>
      <c r="H10" s="16"/>
      <c r="I10" s="15"/>
      <c r="J10" s="14"/>
      <c r="K10" s="5" t="s">
        <v>25</v>
      </c>
      <c r="L10" s="14">
        <v>6</v>
      </c>
    </row>
    <row r="11" spans="1:12" ht="15.75" customHeight="1" x14ac:dyDescent="0.3">
      <c r="A11" s="15"/>
      <c r="B11" s="15"/>
      <c r="C11" s="15"/>
      <c r="D11" s="15"/>
      <c r="E11" s="16" t="s">
        <v>20</v>
      </c>
      <c r="F11" s="16">
        <f>D15-D8*D14</f>
        <v>7.2415355262947623E-2</v>
      </c>
      <c r="G11" s="17">
        <f>D16-D8*D14</f>
        <v>0.11958005748698952</v>
      </c>
      <c r="H11" s="15"/>
      <c r="I11" s="15"/>
      <c r="J11" s="4"/>
      <c r="K11" s="5" t="s">
        <v>26</v>
      </c>
      <c r="L11" s="5">
        <v>7</v>
      </c>
    </row>
    <row r="12" spans="1:12" ht="15.75" customHeight="1" x14ac:dyDescent="0.3">
      <c r="A12" s="15"/>
      <c r="B12" s="15"/>
      <c r="C12" s="15"/>
      <c r="D12" s="15"/>
      <c r="E12" s="16" t="s">
        <v>23</v>
      </c>
      <c r="F12" s="15">
        <f>D15-2*D14-1</f>
        <v>-1.4229596650276131</v>
      </c>
      <c r="G12" s="15">
        <f>D16-2*D14-1</f>
        <v>-1.3757949628035713</v>
      </c>
      <c r="H12" s="15"/>
      <c r="I12" s="15"/>
      <c r="J12" s="4"/>
      <c r="K12" s="4"/>
      <c r="L12" s="4"/>
    </row>
    <row r="13" spans="1:12" ht="15.75" customHeight="1" x14ac:dyDescent="0.3">
      <c r="A13" s="16" t="s">
        <v>27</v>
      </c>
      <c r="B13" s="16" t="s">
        <v>1</v>
      </c>
      <c r="C13" s="16" t="s">
        <v>2</v>
      </c>
      <c r="D13" s="16" t="s">
        <v>3</v>
      </c>
      <c r="E13" s="18"/>
      <c r="F13" s="18"/>
      <c r="G13" s="18"/>
      <c r="H13" s="15"/>
      <c r="I13" s="15"/>
      <c r="J13" s="4"/>
      <c r="K13" s="5" t="s">
        <v>6</v>
      </c>
      <c r="L13" s="4"/>
    </row>
    <row r="14" spans="1:12" ht="15.75" customHeight="1" x14ac:dyDescent="0.3">
      <c r="A14" s="16" t="s">
        <v>7</v>
      </c>
      <c r="B14" s="17">
        <v>1.4208000000000001</v>
      </c>
      <c r="C14" s="19">
        <f>B14</f>
        <v>1.4208000000000001</v>
      </c>
      <c r="D14" s="19">
        <f t="shared" ref="D14:D16" si="1">1/C14^2</f>
        <v>0.4953750202905608</v>
      </c>
      <c r="E14" s="16" t="s">
        <v>8</v>
      </c>
      <c r="F14" s="15"/>
      <c r="G14" s="15" t="s">
        <v>4</v>
      </c>
      <c r="H14" s="15"/>
      <c r="I14" s="15"/>
      <c r="J14" s="4"/>
      <c r="K14" s="5" t="s">
        <v>10</v>
      </c>
      <c r="L14" s="10">
        <f>13/(7+4*L7+1*L8+1*L9)</f>
        <v>0.4642857142857143</v>
      </c>
    </row>
    <row r="15" spans="1:12" ht="15.75" customHeight="1" x14ac:dyDescent="0.3">
      <c r="A15" s="16" t="s">
        <v>11</v>
      </c>
      <c r="B15" s="17">
        <v>-0.20180000000000001</v>
      </c>
      <c r="C15" s="19">
        <f>B14+B15*L14</f>
        <v>1.3271071428571428</v>
      </c>
      <c r="D15" s="19">
        <f t="shared" si="1"/>
        <v>0.56779037555350842</v>
      </c>
      <c r="E15" s="16" t="s">
        <v>12</v>
      </c>
      <c r="F15" s="16" t="s">
        <v>9</v>
      </c>
      <c r="G15" s="20">
        <f>1/((-F11+SQRT(F11*F11-F10*F12))/(2*F10))</f>
        <v>0.56429842415082831</v>
      </c>
      <c r="H15" s="20">
        <f>1/((-F11-SQRT(F11*F11-F10*F12))/(2*F10))</f>
        <v>-0.36073578764688391</v>
      </c>
      <c r="I15" s="19"/>
      <c r="J15" s="10"/>
      <c r="K15" s="5" t="s">
        <v>14</v>
      </c>
      <c r="L15" s="10">
        <f>16/(8+4*L7+2*L8+1*L9+1*L11)</f>
        <v>0.4</v>
      </c>
    </row>
    <row r="16" spans="1:12" ht="15.75" customHeight="1" x14ac:dyDescent="0.3">
      <c r="A16" s="16" t="s">
        <v>15</v>
      </c>
      <c r="B16" s="17">
        <v>-0.36399999999999999</v>
      </c>
      <c r="C16" s="19">
        <f>B14+B16*L15</f>
        <v>1.2752000000000001</v>
      </c>
      <c r="D16" s="19">
        <f t="shared" si="1"/>
        <v>0.61495507777755032</v>
      </c>
      <c r="E16" s="16" t="s">
        <v>16</v>
      </c>
      <c r="F16" s="16" t="s">
        <v>13</v>
      </c>
      <c r="G16" s="20">
        <f>1/((-G11+SQRT(G11*G11-G10*G12))/(2*G10))</f>
        <v>0.78855890630230085</v>
      </c>
      <c r="H16" s="20">
        <f>1/((-G11-SQRT(G11*G11-G10*G12))/(2*G10))</f>
        <v>-0.44089065421534357</v>
      </c>
      <c r="I16" s="19"/>
      <c r="J16" s="10"/>
      <c r="K16" s="4"/>
      <c r="L16" s="4"/>
    </row>
    <row r="17" spans="1:12" ht="15.75" customHeight="1" x14ac:dyDescent="0.3">
      <c r="A17" s="15"/>
      <c r="B17" s="19">
        <f>B14+B15</f>
        <v>1.2190000000000001</v>
      </c>
      <c r="C17" s="19">
        <f>B14-C15</f>
        <v>9.3692857142857244E-2</v>
      </c>
      <c r="D17" s="15"/>
      <c r="E17" s="15"/>
      <c r="F17" s="15"/>
      <c r="G17" s="15"/>
      <c r="H17" s="15"/>
      <c r="I17" s="15"/>
      <c r="J17" s="4"/>
      <c r="K17" s="4"/>
      <c r="L17" s="4"/>
    </row>
    <row r="18" spans="1:12" ht="15.75" customHeight="1" x14ac:dyDescent="0.3">
      <c r="A18" s="15"/>
      <c r="B18" s="19">
        <f>B14+B16</f>
        <v>1.0568</v>
      </c>
      <c r="C18" s="19">
        <f>B14-C16</f>
        <v>0.14559999999999995</v>
      </c>
      <c r="D18" s="15"/>
      <c r="E18" s="15"/>
      <c r="F18" s="15"/>
      <c r="G18" s="15"/>
      <c r="H18" s="15"/>
      <c r="I18" s="15"/>
      <c r="J18" s="4"/>
      <c r="K18" s="4"/>
      <c r="L18" s="4"/>
    </row>
    <row r="19" spans="1:12" ht="15.75" customHeight="1" x14ac:dyDescent="0.3">
      <c r="A19" s="4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</row>
    <row r="20" spans="1:12" ht="15.75" customHeight="1" x14ac:dyDescent="0.3">
      <c r="A20" s="4"/>
      <c r="B20" s="4"/>
      <c r="C20" s="4"/>
      <c r="D20" s="4"/>
      <c r="E20" s="4"/>
      <c r="F20" s="5"/>
      <c r="G20" s="10"/>
      <c r="H20" s="4"/>
      <c r="I20" s="4"/>
      <c r="J20" s="4"/>
      <c r="K20" s="4"/>
      <c r="L20" s="4"/>
    </row>
    <row r="21" spans="1:12" ht="15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0"/>
  <sheetViews>
    <sheetView workbookViewId="0"/>
  </sheetViews>
  <sheetFormatPr defaultColWidth="12.6640625" defaultRowHeight="15.75" customHeight="1" x14ac:dyDescent="0.25"/>
  <cols>
    <col min="2" max="2" width="14.33203125" customWidth="1"/>
    <col min="3" max="3" width="19.6640625" customWidth="1"/>
  </cols>
  <sheetData>
    <row r="1" spans="1:12" ht="15.75" customHeight="1" x14ac:dyDescent="0.3">
      <c r="A1" s="2"/>
      <c r="B1" s="1" t="s">
        <v>1</v>
      </c>
      <c r="C1" s="1" t="s">
        <v>2</v>
      </c>
      <c r="D1" s="1" t="s">
        <v>3</v>
      </c>
      <c r="E1" s="2"/>
      <c r="F1" s="3"/>
      <c r="G1" s="1" t="s">
        <v>4</v>
      </c>
      <c r="H1" s="2"/>
      <c r="I1" s="1" t="s">
        <v>5</v>
      </c>
      <c r="J1" s="4"/>
      <c r="K1" s="5" t="s">
        <v>6</v>
      </c>
      <c r="L1" s="4"/>
    </row>
    <row r="2" spans="1:12" ht="15.75" customHeight="1" x14ac:dyDescent="0.3">
      <c r="A2" s="1" t="s">
        <v>7</v>
      </c>
      <c r="B2" s="6">
        <v>1.1467499999999999</v>
      </c>
      <c r="C2" s="7">
        <f>B2</f>
        <v>1.1467499999999999</v>
      </c>
      <c r="D2" s="7">
        <f t="shared" ref="D2:D4" si="0">1/C2^2</f>
        <v>0.76043570874913136</v>
      </c>
      <c r="E2" s="1" t="s">
        <v>8</v>
      </c>
      <c r="F2" s="1" t="s">
        <v>9</v>
      </c>
      <c r="G2" s="2">
        <f>1/((-F8+SQRT(F8*F8-F7*F9))/(2*F7))</f>
        <v>0.84694275192918467</v>
      </c>
      <c r="H2" s="1">
        <f>1/((-F8-SQRT(F8*F8-F7*F9))/(2*F7))</f>
        <v>-0.167932153120222</v>
      </c>
      <c r="I2" s="1">
        <f>(D3-D8*D2+SQRT((D8*D8-2)*D2*D2+(3-2*D8)*D3*D2+D3-D2))/(0.5*(1-D3+2*D2))</f>
        <v>0.84694275192918456</v>
      </c>
      <c r="J2" s="5">
        <f>(D3-D8*D2-SQRT((D8*D8-2)*D2*D2+(3-2*D8)*D3*D2+D3-D2))/(0.5*(1-D3+2*D2))</f>
        <v>-0.16793215312022203</v>
      </c>
      <c r="K2" s="5" t="s">
        <v>10</v>
      </c>
      <c r="L2" s="10">
        <f>4/(1+2*L7+1*L9)</f>
        <v>0.5714285714285714</v>
      </c>
    </row>
    <row r="3" spans="1:12" ht="15.75" customHeight="1" x14ac:dyDescent="0.3">
      <c r="A3" s="1" t="s">
        <v>11</v>
      </c>
      <c r="B3" s="6">
        <f>1.07145-B2</f>
        <v>-7.5299999999999923E-2</v>
      </c>
      <c r="C3" s="7">
        <f>B2+B3*L2</f>
        <v>1.1037214285714285</v>
      </c>
      <c r="D3" s="7">
        <f t="shared" si="0"/>
        <v>0.82088260201658081</v>
      </c>
      <c r="E3" s="1" t="s">
        <v>12</v>
      </c>
      <c r="F3" s="1" t="s">
        <v>13</v>
      </c>
      <c r="G3" s="7">
        <f>1/((-G8+SQRT(G8*G8-G7*G9))/(2*G7))</f>
        <v>0.8666274754423744</v>
      </c>
      <c r="H3" s="7">
        <f>1/((-G8-SQRT(G8*G8-G7*G9))/(2*G7))</f>
        <v>-0.17599238481405544</v>
      </c>
      <c r="I3" s="7">
        <f>(D4-D8*D2+SQRT((D8*D8-2)*D2*D2+(3-2*D8)*D4*D2+D4-D2))/(0.5*(1-D4+2*D2))</f>
        <v>0.8666274754423744</v>
      </c>
      <c r="J3" s="10">
        <f>(D4-D8*D2-SQRT((D8*D8-2)*D2*D2+(3-2*D8)*D4*D2+D4-D2))/(0.5*(1-D4+2*D2))</f>
        <v>-0.17599238481405538</v>
      </c>
      <c r="K3" s="5" t="s">
        <v>14</v>
      </c>
      <c r="L3" s="10">
        <f>7/(2+2*L7+2*L8+1*L9)</f>
        <v>0.58333333333333337</v>
      </c>
    </row>
    <row r="4" spans="1:12" ht="15.75" customHeight="1" x14ac:dyDescent="0.3">
      <c r="A4" s="1" t="s">
        <v>15</v>
      </c>
      <c r="B4" s="6">
        <f>1.06815-B2</f>
        <v>-7.8600000000000003E-2</v>
      </c>
      <c r="C4" s="7">
        <f>B2+B4*L3</f>
        <v>1.1009</v>
      </c>
      <c r="D4" s="7">
        <f t="shared" si="0"/>
        <v>0.82509557226405261</v>
      </c>
      <c r="E4" s="1" t="s">
        <v>16</v>
      </c>
      <c r="F4" s="1"/>
      <c r="G4" s="7"/>
      <c r="H4" s="7"/>
      <c r="I4" s="7"/>
      <c r="J4" s="10"/>
      <c r="K4" s="4"/>
      <c r="L4" s="4"/>
    </row>
    <row r="5" spans="1:12" ht="15.75" customHeight="1" x14ac:dyDescent="0.3">
      <c r="A5" s="2"/>
      <c r="B5" s="7">
        <f>B2+B3</f>
        <v>1.07145</v>
      </c>
      <c r="C5" s="7">
        <f>B2-C3</f>
        <v>4.3028571428571416E-2</v>
      </c>
      <c r="D5" s="2"/>
      <c r="E5" s="2"/>
      <c r="F5" s="2"/>
      <c r="G5" s="2"/>
      <c r="H5" s="2"/>
      <c r="I5" s="2"/>
      <c r="J5" s="4"/>
      <c r="K5" s="4"/>
      <c r="L5" s="4"/>
    </row>
    <row r="6" spans="1:12" ht="15.75" customHeight="1" x14ac:dyDescent="0.3">
      <c r="A6" s="2"/>
      <c r="B6" s="7">
        <f>B2+B4</f>
        <v>1.0681499999999999</v>
      </c>
      <c r="C6" s="7">
        <f>B2-C4</f>
        <v>4.5849999999999946E-2</v>
      </c>
      <c r="D6" s="2"/>
      <c r="E6" s="3"/>
      <c r="F6" s="1" t="s">
        <v>9</v>
      </c>
      <c r="G6" s="1" t="s">
        <v>13</v>
      </c>
      <c r="H6" s="2"/>
      <c r="I6" s="2"/>
      <c r="J6" s="4"/>
      <c r="K6" s="4"/>
      <c r="L6" s="4"/>
    </row>
    <row r="7" spans="1:12" ht="15.75" customHeight="1" x14ac:dyDescent="0.3">
      <c r="A7" s="2"/>
      <c r="B7" s="2"/>
      <c r="C7" s="2"/>
      <c r="D7" s="2"/>
      <c r="E7" s="1" t="s">
        <v>17</v>
      </c>
      <c r="F7" s="1">
        <f>D3-D2</f>
        <v>6.0446893267449453E-2</v>
      </c>
      <c r="G7" s="2">
        <f>D4-D2</f>
        <v>6.4659863514921256E-2</v>
      </c>
      <c r="H7" s="2"/>
      <c r="I7" s="2"/>
      <c r="J7" s="4"/>
      <c r="K7" s="5" t="s">
        <v>18</v>
      </c>
      <c r="L7" s="14">
        <v>2</v>
      </c>
    </row>
    <row r="8" spans="1:12" ht="15.75" customHeight="1" x14ac:dyDescent="0.3">
      <c r="A8" s="2"/>
      <c r="B8" s="2"/>
      <c r="C8" s="1" t="s">
        <v>19</v>
      </c>
      <c r="D8" s="1">
        <v>0.7</v>
      </c>
      <c r="E8" s="1" t="s">
        <v>20</v>
      </c>
      <c r="F8" s="1">
        <f>D3-D8*D2</f>
        <v>0.28857760589218895</v>
      </c>
      <c r="G8" s="7">
        <f>D4-D8*D2</f>
        <v>0.29279057613966075</v>
      </c>
      <c r="H8" s="2"/>
      <c r="I8" s="2"/>
      <c r="J8" s="4"/>
      <c r="K8" s="5" t="s">
        <v>21</v>
      </c>
      <c r="L8" s="14">
        <v>2</v>
      </c>
    </row>
    <row r="9" spans="1:12" ht="15.75" customHeight="1" x14ac:dyDescent="0.3">
      <c r="A9" s="2"/>
      <c r="B9" s="2"/>
      <c r="C9" s="1" t="s">
        <v>22</v>
      </c>
      <c r="D9" s="2">
        <f>SQRT(D10/(D10-1))</f>
        <v>1.0190493307301363</v>
      </c>
      <c r="E9" s="1" t="s">
        <v>23</v>
      </c>
      <c r="F9" s="2">
        <f>D3-2*D2-1</f>
        <v>-1.699988815481682</v>
      </c>
      <c r="G9" s="2">
        <f>D4-2*D2-1</f>
        <v>-1.69577584523421</v>
      </c>
      <c r="H9" s="2"/>
      <c r="I9" s="2"/>
      <c r="J9" s="4"/>
      <c r="K9" s="5" t="s">
        <v>24</v>
      </c>
      <c r="L9" s="14">
        <v>2</v>
      </c>
    </row>
    <row r="10" spans="1:12" ht="15.75" customHeight="1" x14ac:dyDescent="0.3">
      <c r="A10" s="15"/>
      <c r="B10" s="15"/>
      <c r="C10" s="15"/>
      <c r="D10" s="16">
        <v>27</v>
      </c>
      <c r="E10" s="16" t="s">
        <v>17</v>
      </c>
      <c r="F10" s="16">
        <f>D15-D14</f>
        <v>0.11219416414536842</v>
      </c>
      <c r="G10" s="17">
        <f>D16-D14</f>
        <v>0.21438691080014205</v>
      </c>
      <c r="H10" s="15"/>
      <c r="I10" s="15"/>
      <c r="J10" s="4"/>
      <c r="K10" s="5" t="s">
        <v>25</v>
      </c>
      <c r="L10" s="14">
        <v>2</v>
      </c>
    </row>
    <row r="11" spans="1:12" ht="15.75" customHeight="1" x14ac:dyDescent="0.3">
      <c r="A11" s="15"/>
      <c r="B11" s="15"/>
      <c r="C11" s="15"/>
      <c r="D11" s="15"/>
      <c r="E11" s="16" t="s">
        <v>20</v>
      </c>
      <c r="F11" s="16">
        <f>D15-D8*D14</f>
        <v>0.25978689061640781</v>
      </c>
      <c r="G11" s="17">
        <f>D16-D8*D14</f>
        <v>0.36197963727118143</v>
      </c>
      <c r="H11" s="15"/>
      <c r="I11" s="15"/>
      <c r="J11" s="4"/>
      <c r="K11" s="4"/>
      <c r="L11" s="4"/>
    </row>
    <row r="12" spans="1:12" ht="15.75" customHeight="1" x14ac:dyDescent="0.3">
      <c r="A12" s="15"/>
      <c r="B12" s="15"/>
      <c r="C12" s="15"/>
      <c r="D12" s="15"/>
      <c r="E12" s="16" t="s">
        <v>23</v>
      </c>
      <c r="F12" s="15">
        <f>D15-2*D14-1</f>
        <v>-1.3797815907580961</v>
      </c>
      <c r="G12" s="15">
        <f>D16-2*D14-1</f>
        <v>-1.2775888441033225</v>
      </c>
      <c r="H12" s="15"/>
      <c r="I12" s="15"/>
      <c r="J12" s="4"/>
      <c r="K12" s="4"/>
      <c r="L12" s="4"/>
    </row>
    <row r="13" spans="1:12" ht="15.75" customHeight="1" x14ac:dyDescent="0.3">
      <c r="A13" s="16" t="s">
        <v>28</v>
      </c>
      <c r="B13" s="16" t="s">
        <v>1</v>
      </c>
      <c r="C13" s="16" t="s">
        <v>2</v>
      </c>
      <c r="D13" s="16" t="s">
        <v>3</v>
      </c>
      <c r="E13" s="18"/>
      <c r="F13" s="18"/>
      <c r="G13" s="18"/>
      <c r="H13" s="15"/>
      <c r="I13" s="15"/>
      <c r="J13" s="4"/>
      <c r="K13" s="5" t="s">
        <v>6</v>
      </c>
      <c r="L13" s="4"/>
    </row>
    <row r="14" spans="1:12" ht="15.75" customHeight="1" x14ac:dyDescent="0.3">
      <c r="A14" s="16" t="s">
        <v>7</v>
      </c>
      <c r="B14" s="17">
        <v>1.4257</v>
      </c>
      <c r="C14" s="19">
        <f>B14</f>
        <v>1.4257</v>
      </c>
      <c r="D14" s="19">
        <f t="shared" ref="D14:D16" si="1">1/C14^2</f>
        <v>0.49197575490346457</v>
      </c>
      <c r="E14" s="16" t="s">
        <v>8</v>
      </c>
      <c r="F14" s="15"/>
      <c r="G14" s="15" t="s">
        <v>4</v>
      </c>
      <c r="H14" s="15"/>
      <c r="I14" s="15"/>
      <c r="J14" s="4"/>
      <c r="K14" s="5" t="s">
        <v>10</v>
      </c>
      <c r="L14" s="10">
        <f>13/(7+4*L7+1*L8+1*L9)</f>
        <v>0.68421052631578949</v>
      </c>
    </row>
    <row r="15" spans="1:12" ht="15.75" customHeight="1" x14ac:dyDescent="0.3">
      <c r="A15" s="16" t="s">
        <v>11</v>
      </c>
      <c r="B15" s="17">
        <v>-0.2034</v>
      </c>
      <c r="C15" s="19">
        <f>B14+B15*L14</f>
        <v>1.2865315789473684</v>
      </c>
      <c r="D15" s="19">
        <f t="shared" si="1"/>
        <v>0.60416991904883299</v>
      </c>
      <c r="E15" s="16" t="s">
        <v>12</v>
      </c>
      <c r="F15" s="16" t="s">
        <v>9</v>
      </c>
      <c r="G15" s="19">
        <f>1/((-F11+SQRT(F11*F11-F10*F12))/(2*F10))</f>
        <v>1.059973741351953</v>
      </c>
      <c r="H15" s="19">
        <f>1/((-F11-SQRT(F11*F11-F10*F12))/(2*F10))</f>
        <v>-0.30684906609469687</v>
      </c>
      <c r="I15" s="19"/>
      <c r="J15" s="10"/>
      <c r="K15" s="5" t="s">
        <v>14</v>
      </c>
      <c r="L15" s="10">
        <f>16/(8+4*L7+2*L8+1*L9+1*L10)</f>
        <v>0.66666666666666663</v>
      </c>
    </row>
    <row r="16" spans="1:12" ht="15.75" customHeight="1" x14ac:dyDescent="0.3">
      <c r="A16" s="16" t="s">
        <v>15</v>
      </c>
      <c r="B16" s="17">
        <v>-0.3538</v>
      </c>
      <c r="C16" s="19">
        <f>B14+B16*L15</f>
        <v>1.1898333333333333</v>
      </c>
      <c r="D16" s="19">
        <f t="shared" si="1"/>
        <v>0.70636266570360662</v>
      </c>
      <c r="E16" s="16" t="s">
        <v>16</v>
      </c>
      <c r="F16" s="16" t="s">
        <v>13</v>
      </c>
      <c r="G16" s="19">
        <f>1/((-G11+SQRT(G11*G11-G10*G12))/(2*G10))</f>
        <v>1.5628170933342935</v>
      </c>
      <c r="H16" s="19">
        <f>1/((-G11-SQRT(G11*G11-G10*G12))/(2*G10))</f>
        <v>-0.42949587206067696</v>
      </c>
      <c r="I16" s="19"/>
      <c r="J16" s="10"/>
      <c r="K16" s="4"/>
      <c r="L16" s="4"/>
    </row>
    <row r="17" spans="1:12" ht="15.75" customHeight="1" x14ac:dyDescent="0.3">
      <c r="A17" s="15"/>
      <c r="B17" s="19">
        <f>B14+B15</f>
        <v>1.2222999999999999</v>
      </c>
      <c r="C17" s="19">
        <f>B14-C15</f>
        <v>0.13916842105263161</v>
      </c>
      <c r="D17" s="15"/>
      <c r="E17" s="15"/>
      <c r="F17" s="15"/>
      <c r="G17" s="15"/>
      <c r="H17" s="15"/>
      <c r="I17" s="15"/>
      <c r="J17" s="4"/>
      <c r="K17" s="4"/>
      <c r="L17" s="4"/>
    </row>
    <row r="18" spans="1:12" ht="15.75" customHeight="1" x14ac:dyDescent="0.3">
      <c r="A18" s="15"/>
      <c r="B18" s="19">
        <f>B14+B16</f>
        <v>1.0718999999999999</v>
      </c>
      <c r="C18" s="19">
        <f>B14-C16</f>
        <v>0.23586666666666667</v>
      </c>
      <c r="D18" s="15"/>
      <c r="E18" s="15"/>
      <c r="F18" s="15"/>
      <c r="G18" s="15"/>
      <c r="H18" s="15"/>
      <c r="I18" s="15"/>
      <c r="J18" s="4"/>
      <c r="K18" s="4"/>
      <c r="L18" s="4"/>
    </row>
    <row r="23" spans="1:12" x14ac:dyDescent="0.25">
      <c r="A23" s="21" t="s">
        <v>29</v>
      </c>
    </row>
    <row r="24" spans="1:12" x14ac:dyDescent="0.25">
      <c r="A24" s="21" t="s">
        <v>30</v>
      </c>
      <c r="B24" s="21">
        <v>0.46680642100000003</v>
      </c>
      <c r="C24" s="21">
        <v>0.49993528500000001</v>
      </c>
      <c r="D24" s="21">
        <v>0.48560228500000002</v>
      </c>
    </row>
    <row r="25" spans="1:12" x14ac:dyDescent="0.25">
      <c r="A25" s="21" t="s">
        <v>31</v>
      </c>
      <c r="B25" s="21">
        <v>0.184612052</v>
      </c>
      <c r="C25" s="21">
        <v>0.355974079</v>
      </c>
      <c r="D25" s="21">
        <v>0.53770614100000003</v>
      </c>
    </row>
    <row r="26" spans="1:12" x14ac:dyDescent="0.25">
      <c r="A26" s="21" t="s">
        <v>32</v>
      </c>
      <c r="B26" s="21">
        <v>0.59212295699999995</v>
      </c>
      <c r="C26" s="21">
        <v>0.50447617199999994</v>
      </c>
      <c r="D26" s="21">
        <v>0.45804321999999997</v>
      </c>
    </row>
    <row r="27" spans="1:12" x14ac:dyDescent="0.25">
      <c r="B27" s="21">
        <v>0.86042002399999995</v>
      </c>
      <c r="C27" s="21">
        <v>0.81155143500000004</v>
      </c>
    </row>
    <row r="28" spans="1:12" x14ac:dyDescent="0.25">
      <c r="B28" s="21">
        <v>0.88145442399999996</v>
      </c>
    </row>
    <row r="29" spans="1:12" ht="13.2" x14ac:dyDescent="0.25">
      <c r="A29" s="21" t="s">
        <v>33</v>
      </c>
      <c r="B29" s="21">
        <v>0.31491741000000001</v>
      </c>
      <c r="C29" s="21">
        <v>0.735813932</v>
      </c>
    </row>
    <row r="30" spans="1:12" ht="13.2" x14ac:dyDescent="0.25">
      <c r="B30" s="21">
        <v>0.52527960799999995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Tongyu Nie</cp:lastModifiedBy>
  <dcterms:modified xsi:type="dcterms:W3CDTF">2026-04-07T04:48:02Z</dcterms:modified>
</cp:coreProperties>
</file>